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pul Wakalkar\Downloads\"/>
    </mc:Choice>
  </mc:AlternateContent>
  <xr:revisionPtr revIDLastSave="0" documentId="13_ncr:1_{A5B50466-8DA9-4CBA-8587-A596EB5D7C15}" xr6:coauthVersionLast="47" xr6:coauthVersionMax="47" xr10:uidLastSave="{00000000-0000-0000-0000-000000000000}"/>
  <bookViews>
    <workbookView xWindow="-98" yWindow="-98" windowWidth="21795" windowHeight="13875" xr2:uid="{7EBE4D8F-AE09-4634-BEE2-CB99034E3829}"/>
  </bookViews>
  <sheets>
    <sheet name="Urban Money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1" l="1"/>
  <c r="J39" i="1"/>
  <c r="J40" i="1" s="1"/>
  <c r="I27" i="1"/>
  <c r="J41" i="1" l="1"/>
  <c r="J44" i="1" l="1"/>
</calcChain>
</file>

<file path=xl/sharedStrings.xml><?xml version="1.0" encoding="utf-8"?>
<sst xmlns="http://schemas.openxmlformats.org/spreadsheetml/2006/main" count="94" uniqueCount="87">
  <si>
    <t>TAX INVOICE</t>
  </si>
  <si>
    <t>Invoice Date</t>
  </si>
  <si>
    <t xml:space="preserve">MAVIN CRDIT CONSULTANT PRIVATE LIMITED </t>
  </si>
  <si>
    <t>eMail</t>
  </si>
  <si>
    <t xml:space="preserve">smeloans@mavincredit.com  | www.mavincredit.com  </t>
  </si>
  <si>
    <t>Axis Bank Ltd</t>
  </si>
  <si>
    <t>Urban Money Private Limited</t>
  </si>
  <si>
    <t>Aditya Birla Capital Limited</t>
  </si>
  <si>
    <t>Neogrowth</t>
  </si>
  <si>
    <t>City Union Bank</t>
  </si>
  <si>
    <t>Cholamandalam Investment &amp; Finance Co Ltd</t>
  </si>
  <si>
    <t>Apnarupee Fin India Pvt Ltd</t>
  </si>
  <si>
    <t>R R Financial Solutions</t>
  </si>
  <si>
    <t>Vijay Logistics Limited</t>
  </si>
  <si>
    <t>Venkatesh Roadlines</t>
  </si>
  <si>
    <t>Right Factor Services Pvt Ltd</t>
  </si>
  <si>
    <t>Kuwy Technology Service Pvt Ltd</t>
  </si>
  <si>
    <t>27AAACU2414K1ZF</t>
  </si>
  <si>
    <t>27ABKFS7427G1ZT</t>
  </si>
  <si>
    <t>27AAUCS9133P1Z9</t>
  </si>
  <si>
    <t>24AAJCT3689A1ZB</t>
  </si>
  <si>
    <t>27ADRFS4259H1ZG</t>
  </si>
  <si>
    <t>27AAGCA5936J1ZE</t>
  </si>
  <si>
    <t>27AALCS9004J1Z0</t>
  </si>
  <si>
    <t>27AADCB6018P1ZD</t>
  </si>
  <si>
    <t>27AAACI1195H1ZM</t>
  </si>
  <si>
    <t>27AABCB0266D1Z6</t>
  </si>
  <si>
    <t>27AAACC1287E1ZX</t>
  </si>
  <si>
    <t>27AALCR7654R1Z9</t>
  </si>
  <si>
    <t>27AAYCS0901K1ZX</t>
  </si>
  <si>
    <t>27AMDPP1494N1ZH</t>
  </si>
  <si>
    <t>27AAACH2702H1Z0</t>
  </si>
  <si>
    <t>27AAMCB2543G1ZP</t>
  </si>
  <si>
    <t>27BLBPP5481P1ZD</t>
  </si>
  <si>
    <t>27ABJPG4980H1ZF</t>
  </si>
  <si>
    <t>27AACCV6766B1Z8</t>
  </si>
  <si>
    <t>27AAICR4850N1ZS</t>
  </si>
  <si>
    <t>27AAACI6285N1Z0</t>
  </si>
  <si>
    <t>27AAACL2777N1Z0</t>
  </si>
  <si>
    <t>27BRAPD5873L1ZI</t>
  </si>
  <si>
    <t>27APFPC9110F2Z9</t>
  </si>
  <si>
    <t>27AABCJ1816H2ZR</t>
  </si>
  <si>
    <t>33AAGCK7324Q1Z3</t>
  </si>
  <si>
    <t>S P Enterprises</t>
  </si>
  <si>
    <t>TRUEWIN FINTECH PRIVATE LIMITED</t>
  </si>
  <si>
    <t>Shree Associates</t>
  </si>
  <si>
    <t>ANDROMEDA SALES &amp; DISTRIBUTION PVT LTD</t>
  </si>
  <si>
    <t>BAJAJ HOUSING FINANCE LIMITED</t>
  </si>
  <si>
    <t>ICICI Bank</t>
  </si>
  <si>
    <t>RR Finmart Pvt Ltd</t>
  </si>
  <si>
    <t>RR Financial Services</t>
  </si>
  <si>
    <t>HDFC Bank Ltd</t>
  </si>
  <si>
    <t>BRIGHTWORTH ADVISORS PVT LTD</t>
  </si>
  <si>
    <t>RR FINMART PVT LTD</t>
  </si>
  <si>
    <t>Spencer Systems</t>
  </si>
  <si>
    <t>ICICI Home Finance Company Ltd</t>
  </si>
  <si>
    <t>AU Small Finance Bank Limited</t>
  </si>
  <si>
    <t>Steel Trade</t>
  </si>
  <si>
    <t>Deep Precision Pvt Ltd</t>
  </si>
  <si>
    <t>Neogrowth Credit Pvt Ltd</t>
  </si>
  <si>
    <t>Firm Name</t>
  </si>
  <si>
    <t>GSTN</t>
  </si>
  <si>
    <t>Address</t>
  </si>
  <si>
    <t>CIN   U66190PN2025PTC247784</t>
  </si>
  <si>
    <t>GSTN   27AAUCM0275A1ZH</t>
  </si>
  <si>
    <t>Invoice No.</t>
  </si>
  <si>
    <t>Office No. 502, Varun Capital, 
Off J. M. Road, Shivajinagar, Pune – 411005</t>
  </si>
  <si>
    <t>Supplier -</t>
  </si>
  <si>
    <t>1. Applicable SAC Codes</t>
  </si>
  <si>
    <t>Buyer -</t>
  </si>
  <si>
    <t>PARTICULARS</t>
  </si>
  <si>
    <t>AMOUNT</t>
  </si>
  <si>
    <t>SAC</t>
  </si>
  <si>
    <t xml:space="preserve">GSTN  </t>
  </si>
  <si>
    <t>Financial Intermediary Service, Loan Processing Commission and Agent Fees.</t>
  </si>
  <si>
    <t>General Advisory Services and Agent Fees.</t>
  </si>
  <si>
    <t>Case Sourced</t>
  </si>
  <si>
    <t>Loan Account No.</t>
  </si>
  <si>
    <t>MCF No.</t>
  </si>
  <si>
    <t>Product</t>
  </si>
  <si>
    <t>Disbursed Amount</t>
  </si>
  <si>
    <t>Sub- Total</t>
  </si>
  <si>
    <t>CGST 9%</t>
  </si>
  <si>
    <t>SGST 9%</t>
  </si>
  <si>
    <t>IGST 9%</t>
  </si>
  <si>
    <t>Grand total</t>
  </si>
  <si>
    <t>Login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</si>
</sst>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vertical="top"/>
    </xf>
    <xf numFmtId="0" fontId="7" fillId="0" borderId="0" xfId="0" applyFont="1"/>
    <xf numFmtId="0" fontId="8" fillId="0" borderId="0" xfId="0" applyFont="1" applyAlignment="1">
      <alignment vertical="top"/>
    </xf>
    <xf numFmtId="0" fontId="6" fillId="0" borderId="0" xfId="0" applyFont="1"/>
    <xf numFmtId="0" fontId="6" fillId="0" borderId="9" xfId="0" applyFont="1" applyBorder="1"/>
    <xf numFmtId="0" fontId="3" fillId="0" borderId="0" xfId="0" applyFont="1" applyAlignment="1">
      <alignment horizontal="center" vertical="center"/>
    </xf>
    <xf numFmtId="0" fontId="7" fillId="0" borderId="1" xfId="0" applyFont="1" applyBorder="1"/>
    <xf numFmtId="0" fontId="8" fillId="0" borderId="0" xfId="0" applyFont="1"/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164" fontId="3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Border="1"/>
    <xf numFmtId="164" fontId="6" fillId="0" borderId="0" xfId="1" applyNumberFormat="1" applyFont="1" applyFill="1" applyBorder="1" applyAlignment="1">
      <alignment horizontal="center"/>
    </xf>
    <xf numFmtId="164" fontId="6" fillId="0" borderId="0" xfId="1" applyNumberFormat="1" applyFont="1" applyFill="1" applyBorder="1" applyAlignment="1"/>
    <xf numFmtId="164" fontId="6" fillId="0" borderId="0" xfId="1" applyNumberFormat="1" applyFont="1" applyBorder="1" applyAlignment="1"/>
    <xf numFmtId="164" fontId="4" fillId="0" borderId="0" xfId="1" applyNumberFormat="1" applyFont="1" applyBorder="1" applyAlignment="1"/>
    <xf numFmtId="164" fontId="4" fillId="0" borderId="1" xfId="1" applyNumberFormat="1" applyFont="1" applyBorder="1"/>
    <xf numFmtId="164" fontId="4" fillId="0" borderId="0" xfId="1" applyNumberFormat="1" applyFont="1"/>
    <xf numFmtId="0" fontId="4" fillId="0" borderId="0" xfId="0" applyFont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4" fontId="3" fillId="2" borderId="10" xfId="1" applyNumberFormat="1" applyFont="1" applyFill="1" applyBorder="1" applyAlignment="1">
      <alignment horizontal="right" vertical="center"/>
    </xf>
    <xf numFmtId="0" fontId="4" fillId="2" borderId="10" xfId="0" applyFont="1" applyFill="1" applyBorder="1"/>
    <xf numFmtId="0" fontId="7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6" fillId="0" borderId="13" xfId="0" applyFont="1" applyBorder="1" applyAlignment="1">
      <alignment horizontal="center"/>
    </xf>
    <xf numFmtId="164" fontId="6" fillId="0" borderId="6" xfId="1" applyNumberFormat="1" applyFont="1" applyBorder="1"/>
    <xf numFmtId="164" fontId="6" fillId="0" borderId="6" xfId="1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64" fontId="6" fillId="0" borderId="4" xfId="1" applyNumberFormat="1" applyFont="1" applyBorder="1"/>
    <xf numFmtId="0" fontId="6" fillId="0" borderId="5" xfId="0" applyFont="1" applyBorder="1"/>
    <xf numFmtId="164" fontId="6" fillId="0" borderId="0" xfId="1" applyNumberFormat="1" applyFont="1" applyBorder="1"/>
    <xf numFmtId="164" fontId="6" fillId="0" borderId="1" xfId="1" applyNumberFormat="1" applyFont="1" applyBorder="1"/>
    <xf numFmtId="0" fontId="6" fillId="2" borderId="10" xfId="0" applyFont="1" applyFill="1" applyBorder="1"/>
    <xf numFmtId="0" fontId="6" fillId="2" borderId="11" xfId="0" applyFont="1" applyFill="1" applyBorder="1"/>
    <xf numFmtId="164" fontId="6" fillId="2" borderId="10" xfId="1" applyNumberFormat="1" applyFont="1" applyFill="1" applyBorder="1"/>
    <xf numFmtId="0" fontId="6" fillId="2" borderId="12" xfId="0" applyFont="1" applyFill="1" applyBorder="1"/>
    <xf numFmtId="0" fontId="7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2" borderId="10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433387</xdr:colOff>
      <xdr:row>0</xdr:row>
      <xdr:rowOff>0</xdr:rowOff>
    </xdr:from>
    <xdr:to>
      <xdr:col>9</xdr:col>
      <xdr:colOff>777557</xdr:colOff>
      <xdr:row>5</xdr:row>
      <xdr:rowOff>10795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00F93-97D0-444D-826B-075AB6C1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0"/>
          <a:ext cx="2134870" cy="8680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185737</xdr:colOff>
      <xdr:row>27</xdr:row>
      <xdr:rowOff>14287</xdr:rowOff>
    </xdr:to>
    <xdr:pic>
      <xdr:nvPicPr>
        <xdr:cNvPr id="4" name="Graphic 3" descr="Single gear">
          <a:extLst>
            <a:ext uri="{FF2B5EF4-FFF2-40B4-BE49-F238E27FC236}">
              <a16:creationId xmlns:a16="http://schemas.microsoft.com/office/drawing/2014/main" id="{86E7AC0B-67F7-C6B6-18E3-2E2327C02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4700588"/>
          <a:ext cx="185737" cy="185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636F-24DF-4409-9F81-D53BB656DFCE}">
  <sheetPr codeName="Sheet1"/>
  <dimension ref="A8:K45"/>
  <sheetViews>
    <sheetView tabSelected="1" view="pageLayout" topLeftCell="A2" zoomScaleNormal="100" workbookViewId="0">
      <selection activeCell="I16" sqref="I16"/>
    </sheetView>
  </sheetViews>
  <sheetFormatPr defaultRowHeight="13.5" x14ac:dyDescent="0.35"/>
  <cols>
    <col min="1" max="1" width="2.73046875" style="1" customWidth="1"/>
    <col min="2" max="6" width="8.9296875" style="1" customWidth="1"/>
    <col min="7" max="7" width="9.1328125" style="1" customWidth="1"/>
    <col min="8" max="8" width="2.6640625" style="1" customWidth="1"/>
    <col min="9" max="9" width="13.19921875" style="1" customWidth="1"/>
    <col min="10" max="10" width="15.796875" style="24" customWidth="1"/>
    <col min="11" max="11" width="3.46484375" style="1" customWidth="1"/>
    <col min="12" max="16384" width="9.06640625" style="1"/>
  </cols>
  <sheetData>
    <row r="8" spans="2:11" ht="22.15" customHeight="1" x14ac:dyDescent="0.35">
      <c r="B8" s="58" t="s">
        <v>0</v>
      </c>
      <c r="C8" s="58"/>
      <c r="D8" s="58"/>
      <c r="E8" s="58"/>
      <c r="F8" s="58"/>
      <c r="G8" s="58"/>
      <c r="H8" s="58"/>
      <c r="I8" s="58"/>
      <c r="J8" s="58"/>
      <c r="K8" s="58"/>
    </row>
    <row r="9" spans="2:11" ht="15" x14ac:dyDescent="0.35">
      <c r="B9" s="12"/>
      <c r="C9" s="12"/>
      <c r="D9" s="12"/>
      <c r="E9" s="12"/>
      <c r="F9" s="12"/>
      <c r="G9" s="12"/>
      <c r="H9" s="12"/>
      <c r="I9" s="12"/>
      <c r="J9" s="17"/>
      <c r="K9" s="12"/>
    </row>
    <row r="10" spans="2:11" x14ac:dyDescent="0.35">
      <c r="B10" s="13" t="s">
        <v>67</v>
      </c>
      <c r="C10" s="4"/>
      <c r="D10" s="4"/>
      <c r="E10" s="4"/>
      <c r="F10" s="4"/>
      <c r="J10" s="18"/>
    </row>
    <row r="11" spans="2:11" x14ac:dyDescent="0.35">
      <c r="B11" s="14" t="s">
        <v>2</v>
      </c>
      <c r="C11" s="8"/>
      <c r="D11" s="8"/>
      <c r="E11" s="8"/>
      <c r="F11" s="8"/>
      <c r="I11" s="10" t="s">
        <v>65</v>
      </c>
      <c r="J11" s="19"/>
    </row>
    <row r="12" spans="2:11" x14ac:dyDescent="0.35">
      <c r="B12" s="57" t="s">
        <v>66</v>
      </c>
      <c r="C12" s="57"/>
      <c r="D12" s="57"/>
      <c r="E12" s="57"/>
      <c r="F12" s="57"/>
      <c r="G12" s="8"/>
      <c r="I12" s="10"/>
      <c r="J12" s="20"/>
    </row>
    <row r="13" spans="2:11" x14ac:dyDescent="0.35">
      <c r="B13" s="57"/>
      <c r="C13" s="57"/>
      <c r="D13" s="57"/>
      <c r="E13" s="57"/>
      <c r="F13" s="57"/>
      <c r="G13" s="8"/>
      <c r="I13" s="10" t="s">
        <v>1</v>
      </c>
      <c r="J13" s="19"/>
    </row>
    <row r="14" spans="2:11" x14ac:dyDescent="0.35">
      <c r="B14" s="7" t="s">
        <v>4</v>
      </c>
      <c r="C14" s="7"/>
      <c r="D14" s="7"/>
      <c r="E14" s="7"/>
      <c r="F14" s="7"/>
      <c r="G14" s="8"/>
      <c r="I14" s="10"/>
      <c r="J14" s="20"/>
    </row>
    <row r="15" spans="2:11" x14ac:dyDescent="0.35">
      <c r="B15" s="9" t="s">
        <v>64</v>
      </c>
      <c r="C15" s="9"/>
      <c r="D15" s="9"/>
      <c r="F15" s="7"/>
      <c r="G15" s="8"/>
      <c r="H15" s="8"/>
      <c r="I15" s="10" t="s">
        <v>86</v>
      </c>
      <c r="J15" s="21"/>
    </row>
    <row r="16" spans="2:11" x14ac:dyDescent="0.35">
      <c r="B16" s="7" t="s">
        <v>63</v>
      </c>
      <c r="C16" s="9"/>
      <c r="D16" s="9"/>
      <c r="E16" s="9"/>
      <c r="F16" s="7"/>
      <c r="G16" s="8"/>
      <c r="H16" s="8"/>
      <c r="I16" s="10"/>
      <c r="J16" s="21"/>
    </row>
    <row r="17" spans="1:11" x14ac:dyDescent="0.35">
      <c r="I17" s="10"/>
      <c r="J17" s="21"/>
    </row>
    <row r="18" spans="1:11" x14ac:dyDescent="0.35">
      <c r="B18" s="13" t="s">
        <v>69</v>
      </c>
      <c r="C18" s="4"/>
      <c r="D18" s="4"/>
      <c r="E18" s="4"/>
      <c r="F18" s="4"/>
      <c r="J18" s="22"/>
    </row>
    <row r="19" spans="1:11" ht="13.9" x14ac:dyDescent="0.4">
      <c r="B19" s="14"/>
      <c r="C19" s="8"/>
      <c r="D19" s="8"/>
      <c r="E19" s="8"/>
      <c r="F19" s="8"/>
      <c r="G19" s="6"/>
      <c r="J19" s="22"/>
    </row>
    <row r="20" spans="1:11" x14ac:dyDescent="0.35">
      <c r="B20" s="57"/>
      <c r="C20" s="57"/>
      <c r="D20" s="57"/>
      <c r="E20" s="57"/>
      <c r="F20" s="57"/>
      <c r="J20" s="22"/>
    </row>
    <row r="21" spans="1:11" x14ac:dyDescent="0.35">
      <c r="B21" s="57"/>
      <c r="C21" s="57"/>
      <c r="D21" s="57"/>
      <c r="E21" s="57"/>
      <c r="F21" s="57"/>
      <c r="J21" s="22"/>
    </row>
    <row r="22" spans="1:11" x14ac:dyDescent="0.35">
      <c r="B22" s="7" t="s">
        <v>3</v>
      </c>
      <c r="C22" s="7"/>
      <c r="D22" s="7"/>
      <c r="E22" s="7"/>
      <c r="F22" s="7"/>
      <c r="J22" s="22"/>
    </row>
    <row r="23" spans="1:11" x14ac:dyDescent="0.35">
      <c r="B23" s="9" t="s">
        <v>73</v>
      </c>
      <c r="C23" s="9"/>
      <c r="D23" s="9"/>
      <c r="F23" s="7"/>
      <c r="J23" s="22"/>
    </row>
    <row r="24" spans="1:11" x14ac:dyDescent="0.35">
      <c r="B24" s="15"/>
      <c r="C24" s="16"/>
      <c r="D24" s="16"/>
      <c r="E24" s="16"/>
      <c r="F24" s="15"/>
      <c r="G24" s="4"/>
      <c r="H24" s="4"/>
      <c r="I24" s="4"/>
      <c r="J24" s="23"/>
      <c r="K24" s="4"/>
    </row>
    <row r="25" spans="1:11" ht="22.15" customHeight="1" x14ac:dyDescent="0.35">
      <c r="A25" s="31"/>
      <c r="B25" s="26" t="s">
        <v>70</v>
      </c>
      <c r="C25" s="26"/>
      <c r="D25" s="26"/>
      <c r="E25" s="26"/>
      <c r="F25" s="26"/>
      <c r="G25" s="26"/>
      <c r="H25" s="27"/>
      <c r="I25" s="33" t="s">
        <v>72</v>
      </c>
      <c r="J25" s="30" t="s">
        <v>71</v>
      </c>
      <c r="K25" s="27"/>
    </row>
    <row r="26" spans="1:11" x14ac:dyDescent="0.35">
      <c r="A26" s="43"/>
      <c r="B26" s="10"/>
      <c r="C26" s="10"/>
      <c r="D26" s="10"/>
      <c r="E26" s="10"/>
      <c r="F26" s="10"/>
      <c r="G26" s="10"/>
      <c r="H26" s="44"/>
      <c r="I26" s="45"/>
      <c r="J26" s="46"/>
      <c r="K26" s="44"/>
    </row>
    <row r="27" spans="1:11" x14ac:dyDescent="0.35">
      <c r="A27" s="43"/>
      <c r="B27" s="59" t="s">
        <v>74</v>
      </c>
      <c r="C27" s="59"/>
      <c r="D27" s="59"/>
      <c r="E27" s="59"/>
      <c r="F27" s="59"/>
      <c r="G27" s="59"/>
      <c r="H27" s="44"/>
      <c r="I27" s="45">
        <f>IF(B27="","",IFERROR(VLOOKUP(B27,Sheet2!$F$7:$G$8,2,0),""))</f>
        <v>997119</v>
      </c>
      <c r="J27" s="46">
        <v>12348</v>
      </c>
      <c r="K27" s="44"/>
    </row>
    <row r="28" spans="1:11" x14ac:dyDescent="0.35">
      <c r="A28" s="43"/>
      <c r="B28" s="59"/>
      <c r="C28" s="59"/>
      <c r="D28" s="59"/>
      <c r="E28" s="59"/>
      <c r="F28" s="59"/>
      <c r="G28" s="59"/>
      <c r="H28" s="44"/>
      <c r="I28" s="45"/>
      <c r="J28" s="46"/>
      <c r="K28" s="44"/>
    </row>
    <row r="29" spans="1:11" x14ac:dyDescent="0.35">
      <c r="A29" s="43"/>
      <c r="B29" s="10"/>
      <c r="C29" s="10"/>
      <c r="D29" s="10"/>
      <c r="E29" s="10"/>
      <c r="F29" s="10"/>
      <c r="G29" s="10"/>
      <c r="H29" s="44"/>
      <c r="I29" s="45"/>
      <c r="J29" s="46"/>
      <c r="K29" s="44"/>
    </row>
    <row r="30" spans="1:11" x14ac:dyDescent="0.35">
      <c r="A30" s="2"/>
      <c r="H30" s="3"/>
      <c r="I30" s="34"/>
      <c r="J30" s="46"/>
      <c r="K30" s="44"/>
    </row>
    <row r="31" spans="1:11" s="25" customFormat="1" ht="17.350000000000001" customHeight="1" x14ac:dyDescent="0.45">
      <c r="A31" s="28"/>
      <c r="B31" s="60" t="s">
        <v>76</v>
      </c>
      <c r="C31" s="61"/>
      <c r="D31" s="62"/>
      <c r="E31" s="62"/>
      <c r="F31" s="62"/>
      <c r="G31" s="62"/>
      <c r="H31" s="29"/>
      <c r="I31" s="35"/>
      <c r="J31" s="47"/>
      <c r="K31" s="48"/>
    </row>
    <row r="32" spans="1:11" s="25" customFormat="1" ht="17.350000000000001" customHeight="1" x14ac:dyDescent="0.45">
      <c r="A32" s="28"/>
      <c r="B32" s="60" t="s">
        <v>77</v>
      </c>
      <c r="C32" s="61"/>
      <c r="D32" s="62"/>
      <c r="E32" s="62"/>
      <c r="F32" s="62"/>
      <c r="G32" s="62"/>
      <c r="H32" s="29"/>
      <c r="I32" s="35"/>
      <c r="J32" s="47"/>
      <c r="K32" s="48"/>
    </row>
    <row r="33" spans="1:11" s="25" customFormat="1" ht="17.350000000000001" customHeight="1" x14ac:dyDescent="0.45">
      <c r="A33" s="28"/>
      <c r="B33" s="60" t="s">
        <v>78</v>
      </c>
      <c r="C33" s="61"/>
      <c r="D33" s="62"/>
      <c r="E33" s="62"/>
      <c r="F33" s="62"/>
      <c r="G33" s="62"/>
      <c r="H33" s="29"/>
      <c r="I33" s="35"/>
      <c r="J33" s="47"/>
      <c r="K33" s="48"/>
    </row>
    <row r="34" spans="1:11" s="25" customFormat="1" ht="17.350000000000001" customHeight="1" x14ac:dyDescent="0.45">
      <c r="A34" s="28"/>
      <c r="B34" s="60" t="s">
        <v>79</v>
      </c>
      <c r="C34" s="61"/>
      <c r="D34" s="62"/>
      <c r="E34" s="62"/>
      <c r="F34" s="62"/>
      <c r="G34" s="62"/>
      <c r="H34" s="29"/>
      <c r="I34" s="35"/>
      <c r="J34" s="47"/>
      <c r="K34" s="48"/>
    </row>
    <row r="35" spans="1:11" s="25" customFormat="1" ht="17.350000000000001" customHeight="1" x14ac:dyDescent="0.45">
      <c r="A35" s="28"/>
      <c r="B35" s="60" t="s">
        <v>80</v>
      </c>
      <c r="C35" s="61"/>
      <c r="D35" s="62"/>
      <c r="E35" s="62"/>
      <c r="F35" s="62"/>
      <c r="G35" s="62"/>
      <c r="H35" s="29"/>
      <c r="I35" s="35"/>
      <c r="J35" s="47"/>
      <c r="K35" s="48"/>
    </row>
    <row r="36" spans="1:11" s="25" customFormat="1" ht="17.350000000000001" customHeight="1" x14ac:dyDescent="0.45">
      <c r="A36" s="28"/>
      <c r="B36" s="32"/>
      <c r="C36" s="32"/>
      <c r="D36" s="32"/>
      <c r="E36" s="32"/>
      <c r="F36" s="32"/>
      <c r="G36" s="32"/>
      <c r="H36" s="29"/>
      <c r="I36" s="35"/>
      <c r="J36" s="47"/>
      <c r="K36" s="48"/>
    </row>
    <row r="37" spans="1:11" x14ac:dyDescent="0.35">
      <c r="A37" s="2"/>
      <c r="B37" s="8"/>
      <c r="C37" s="8"/>
      <c r="D37" s="8"/>
      <c r="E37" s="8"/>
      <c r="F37" s="8"/>
      <c r="G37" s="8"/>
      <c r="H37" s="3"/>
      <c r="I37" s="34"/>
      <c r="J37" s="46"/>
      <c r="K37" s="44"/>
    </row>
    <row r="38" spans="1:11" x14ac:dyDescent="0.35">
      <c r="A38" s="2"/>
      <c r="H38" s="3"/>
      <c r="I38" s="34"/>
      <c r="J38" s="46"/>
      <c r="K38" s="44"/>
    </row>
    <row r="39" spans="1:11" x14ac:dyDescent="0.35">
      <c r="A39" s="36"/>
      <c r="B39" s="37"/>
      <c r="C39" s="37"/>
      <c r="D39" s="37"/>
      <c r="E39" s="37"/>
      <c r="F39" s="37"/>
      <c r="G39" s="37" t="s">
        <v>81</v>
      </c>
      <c r="H39" s="37"/>
      <c r="I39" s="38"/>
      <c r="J39" s="49">
        <f>SUM(J26:J38)</f>
        <v>12348</v>
      </c>
      <c r="K39" s="50"/>
    </row>
    <row r="40" spans="1:11" x14ac:dyDescent="0.35">
      <c r="A40" s="39"/>
      <c r="B40" s="8"/>
      <c r="C40" s="8"/>
      <c r="D40" s="8"/>
      <c r="E40" s="8"/>
      <c r="F40" s="8"/>
      <c r="G40" s="8" t="s">
        <v>82</v>
      </c>
      <c r="H40" s="8"/>
      <c r="I40" s="40"/>
      <c r="J40" s="51">
        <f>ROUND(J39*9%,0)</f>
        <v>1111</v>
      </c>
      <c r="K40" s="44"/>
    </row>
    <row r="41" spans="1:11" x14ac:dyDescent="0.35">
      <c r="A41" s="39"/>
      <c r="B41" s="8"/>
      <c r="C41" s="8"/>
      <c r="D41" s="8"/>
      <c r="E41" s="8"/>
      <c r="F41" s="8"/>
      <c r="G41" s="8" t="s">
        <v>83</v>
      </c>
      <c r="H41" s="8"/>
      <c r="I41" s="40"/>
      <c r="J41" s="51">
        <f>J40</f>
        <v>1111</v>
      </c>
      <c r="K41" s="44"/>
    </row>
    <row r="42" spans="1:11" x14ac:dyDescent="0.35">
      <c r="A42" s="39"/>
      <c r="B42" s="8"/>
      <c r="C42" s="8"/>
      <c r="D42" s="8"/>
      <c r="E42" s="8"/>
      <c r="F42" s="8"/>
      <c r="G42" s="8" t="s">
        <v>84</v>
      </c>
      <c r="H42" s="8"/>
      <c r="I42" s="40"/>
      <c r="J42" s="51">
        <v>0</v>
      </c>
      <c r="K42" s="44"/>
    </row>
    <row r="43" spans="1:11" x14ac:dyDescent="0.35">
      <c r="A43" s="41"/>
      <c r="B43" s="13"/>
      <c r="C43" s="13"/>
      <c r="D43" s="13"/>
      <c r="E43" s="13"/>
      <c r="F43" s="13"/>
      <c r="G43" s="13"/>
      <c r="H43" s="13"/>
      <c r="I43" s="42"/>
      <c r="J43" s="52"/>
      <c r="K43" s="11"/>
    </row>
    <row r="44" spans="1:11" ht="17.649999999999999" customHeight="1" x14ac:dyDescent="0.35">
      <c r="A44" s="53"/>
      <c r="B44" s="54"/>
      <c r="C44" s="54"/>
      <c r="D44" s="54"/>
      <c r="E44" s="54"/>
      <c r="F44" s="54"/>
      <c r="G44" s="54" t="s">
        <v>85</v>
      </c>
      <c r="H44" s="54"/>
      <c r="I44" s="54"/>
      <c r="J44" s="55">
        <f>SUM(J39:J43)</f>
        <v>14570</v>
      </c>
      <c r="K44" s="56"/>
    </row>
    <row r="45" spans="1:11" x14ac:dyDescent="0.35">
      <c r="B45" s="1" t="e">
        <f ca="1">SpellNumber(J44)</f>
        <v>#NAME?</v>
      </c>
    </row>
  </sheetData>
  <mergeCells count="14">
    <mergeCell ref="B32:C32"/>
    <mergeCell ref="B33:C33"/>
    <mergeCell ref="B34:C34"/>
    <mergeCell ref="B35:C35"/>
    <mergeCell ref="D31:G31"/>
    <mergeCell ref="D32:G32"/>
    <mergeCell ref="D33:G33"/>
    <mergeCell ref="D34:G34"/>
    <mergeCell ref="D35:G35"/>
    <mergeCell ref="B20:F21"/>
    <mergeCell ref="B8:K8"/>
    <mergeCell ref="B12:F13"/>
    <mergeCell ref="B27:G28"/>
    <mergeCell ref="B31:C31"/>
  </mergeCells>
  <pageMargins left="0.69270833333333337" right="0.296875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CAB0A31-839B-487B-B92F-29F8506F44AB}">
          <x14:formula1>
            <xm:f>Sheet2!$F$7:$F$8</xm:f>
          </x14:formula1>
          <xm:sqref>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6ABE-F9E6-481B-B9AE-54F03F81A2F8}">
  <sheetPr codeName="Sheet2"/>
  <dimension ref="A2:G33"/>
  <sheetViews>
    <sheetView topLeftCell="A4" workbookViewId="0">
      <selection activeCell="F9" sqref="F9"/>
    </sheetView>
  </sheetViews>
  <sheetFormatPr defaultRowHeight="14.25" x14ac:dyDescent="0.45"/>
  <cols>
    <col min="1" max="1" width="36.796875" bestFit="1" customWidth="1"/>
    <col min="2" max="2" width="17.265625" bestFit="1" customWidth="1"/>
  </cols>
  <sheetData>
    <row r="2" spans="1:7" x14ac:dyDescent="0.45">
      <c r="A2" s="5" t="s">
        <v>60</v>
      </c>
      <c r="B2" s="5" t="s">
        <v>61</v>
      </c>
      <c r="C2" s="5" t="s">
        <v>62</v>
      </c>
    </row>
    <row r="3" spans="1:7" x14ac:dyDescent="0.45">
      <c r="A3" t="s">
        <v>43</v>
      </c>
      <c r="B3" t="s">
        <v>18</v>
      </c>
    </row>
    <row r="4" spans="1:7" x14ac:dyDescent="0.45">
      <c r="A4" t="s">
        <v>6</v>
      </c>
      <c r="B4" t="s">
        <v>19</v>
      </c>
    </row>
    <row r="5" spans="1:7" x14ac:dyDescent="0.45">
      <c r="A5" t="s">
        <v>44</v>
      </c>
      <c r="B5" t="s">
        <v>20</v>
      </c>
    </row>
    <row r="6" spans="1:7" x14ac:dyDescent="0.45">
      <c r="A6" t="s">
        <v>45</v>
      </c>
      <c r="B6" t="s">
        <v>21</v>
      </c>
      <c r="F6" t="s">
        <v>68</v>
      </c>
    </row>
    <row r="7" spans="1:7" x14ac:dyDescent="0.45">
      <c r="A7" t="s">
        <v>7</v>
      </c>
      <c r="B7" t="s">
        <v>22</v>
      </c>
      <c r="F7" t="s">
        <v>74</v>
      </c>
      <c r="G7">
        <v>997119</v>
      </c>
    </row>
    <row r="8" spans="1:7" x14ac:dyDescent="0.45">
      <c r="A8" t="s">
        <v>46</v>
      </c>
      <c r="B8" t="s">
        <v>23</v>
      </c>
      <c r="F8" t="s">
        <v>75</v>
      </c>
      <c r="G8">
        <v>998311</v>
      </c>
    </row>
    <row r="9" spans="1:7" x14ac:dyDescent="0.45">
      <c r="A9" t="s">
        <v>47</v>
      </c>
      <c r="B9" t="s">
        <v>24</v>
      </c>
    </row>
    <row r="10" spans="1:7" x14ac:dyDescent="0.45">
      <c r="A10" t="s">
        <v>48</v>
      </c>
      <c r="B10" t="s">
        <v>25</v>
      </c>
    </row>
    <row r="11" spans="1:7" x14ac:dyDescent="0.45">
      <c r="A11" t="s">
        <v>8</v>
      </c>
      <c r="B11" t="s">
        <v>26</v>
      </c>
    </row>
    <row r="12" spans="1:7" x14ac:dyDescent="0.45">
      <c r="A12" t="s">
        <v>9</v>
      </c>
      <c r="B12" t="s">
        <v>27</v>
      </c>
    </row>
    <row r="13" spans="1:7" x14ac:dyDescent="0.45">
      <c r="A13" t="s">
        <v>5</v>
      </c>
      <c r="B13" t="s">
        <v>17</v>
      </c>
    </row>
    <row r="14" spans="1:7" x14ac:dyDescent="0.45">
      <c r="A14" t="s">
        <v>49</v>
      </c>
      <c r="B14" t="s">
        <v>28</v>
      </c>
    </row>
    <row r="15" spans="1:7" x14ac:dyDescent="0.45">
      <c r="A15" t="s">
        <v>10</v>
      </c>
    </row>
    <row r="16" spans="1:7" x14ac:dyDescent="0.45">
      <c r="A16" t="s">
        <v>11</v>
      </c>
      <c r="B16" t="s">
        <v>29</v>
      </c>
    </row>
    <row r="17" spans="1:2" x14ac:dyDescent="0.45">
      <c r="A17" t="s">
        <v>50</v>
      </c>
      <c r="B17" t="s">
        <v>30</v>
      </c>
    </row>
    <row r="18" spans="1:2" x14ac:dyDescent="0.45">
      <c r="A18" t="s">
        <v>51</v>
      </c>
      <c r="B18" t="s">
        <v>31</v>
      </c>
    </row>
    <row r="19" spans="1:2" x14ac:dyDescent="0.45">
      <c r="A19" t="s">
        <v>52</v>
      </c>
      <c r="B19" t="s">
        <v>32</v>
      </c>
    </row>
    <row r="20" spans="1:2" x14ac:dyDescent="0.45">
      <c r="A20" t="s">
        <v>53</v>
      </c>
      <c r="B20" t="s">
        <v>28</v>
      </c>
    </row>
    <row r="21" spans="1:2" x14ac:dyDescent="0.45">
      <c r="A21" t="s">
        <v>12</v>
      </c>
      <c r="B21" t="s">
        <v>33</v>
      </c>
    </row>
    <row r="22" spans="1:2" x14ac:dyDescent="0.45">
      <c r="A22" t="s">
        <v>54</v>
      </c>
      <c r="B22" t="s">
        <v>34</v>
      </c>
    </row>
    <row r="23" spans="1:2" x14ac:dyDescent="0.45">
      <c r="A23" t="s">
        <v>13</v>
      </c>
      <c r="B23" t="s">
        <v>35</v>
      </c>
    </row>
    <row r="24" spans="1:2" x14ac:dyDescent="0.45">
      <c r="A24" t="s">
        <v>15</v>
      </c>
      <c r="B24" t="s">
        <v>36</v>
      </c>
    </row>
    <row r="25" spans="1:2" x14ac:dyDescent="0.45">
      <c r="A25" t="s">
        <v>59</v>
      </c>
      <c r="B25" t="s">
        <v>26</v>
      </c>
    </row>
    <row r="26" spans="1:2" x14ac:dyDescent="0.45">
      <c r="A26" t="s">
        <v>55</v>
      </c>
      <c r="B26" t="s">
        <v>37</v>
      </c>
    </row>
    <row r="27" spans="1:2" x14ac:dyDescent="0.45">
      <c r="A27" t="s">
        <v>56</v>
      </c>
      <c r="B27" t="s">
        <v>38</v>
      </c>
    </row>
    <row r="28" spans="1:2" x14ac:dyDescent="0.45">
      <c r="A28" t="s">
        <v>14</v>
      </c>
      <c r="B28" t="s">
        <v>39</v>
      </c>
    </row>
    <row r="29" spans="1:2" x14ac:dyDescent="0.45">
      <c r="A29" t="s">
        <v>12</v>
      </c>
      <c r="B29" t="s">
        <v>33</v>
      </c>
    </row>
    <row r="30" spans="1:2" x14ac:dyDescent="0.45">
      <c r="A30" t="s">
        <v>57</v>
      </c>
      <c r="B30" t="s">
        <v>40</v>
      </c>
    </row>
    <row r="31" spans="1:2" x14ac:dyDescent="0.45">
      <c r="A31" t="s">
        <v>58</v>
      </c>
      <c r="B31" t="s">
        <v>41</v>
      </c>
    </row>
    <row r="32" spans="1:2" x14ac:dyDescent="0.45">
      <c r="A32" t="s">
        <v>15</v>
      </c>
      <c r="B32" t="s">
        <v>36</v>
      </c>
    </row>
    <row r="33" spans="1:2" x14ac:dyDescent="0.45">
      <c r="A33" t="s">
        <v>16</v>
      </c>
      <c r="B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Urban Money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vipulwakalkar@gmail.com</dc:creator>
  <cp:lastModifiedBy>vipulwakalkar@gmail.com</cp:lastModifiedBy>
  <cp:lastPrinted>2026-06-25T06:10:34Z</cp:lastPrinted>
  <dcterms:created xsi:type="dcterms:W3CDTF">2026-06-25T05:03:17Z</dcterms:created>
  <dcterms:modified xsi:type="dcterms:W3CDTF">2026-10-26T13:46:13Z</dcterms:modified>
</cp:coreProperties>
</file>